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6860" windowHeight="12380" activeTab="2"/>
  </bookViews>
  <sheets>
    <sheet name="Read Me" sheetId="1" r:id="rId1"/>
    <sheet name="Team Scorecard" sheetId="2" r:id="rId2"/>
    <sheet name="Criteria Guide"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Team</author>
  </authors>
  <commentList>
    <comment ref="A36" authorId="0">
      <text>
        <r>
          <rPr>
            <sz val="10"/>
            <rFont val="SimSun"/>
            <charset val="134"/>
          </rPr>
          <t>Scores are a DRAFT proposed from the current prototype (branch minutes-gemma3, 2026-09-26). Final scores are agreed with the mentor.</t>
        </r>
      </text>
    </comment>
  </commentList>
</comments>
</file>

<file path=xl/sharedStrings.xml><?xml version="1.0" encoding="utf-8"?>
<sst xmlns="http://schemas.openxmlformats.org/spreadsheetml/2006/main" count="318" uniqueCount="226">
  <si>
    <t>EU Alignment Scorecard - DeepTech GigaHack 2026</t>
  </si>
  <si>
    <t>Purpose</t>
  </si>
  <si>
    <t>The scorecard ensures EU principles are systematically integrated into every prototype built at the hackathon. It is completed jointly by each team and their mentor.</t>
  </si>
  <si>
    <t>Workflow</t>
  </si>
  <si>
    <t>1.  Mid-hackathon mentoring session: mentor + team complete the Team Scorecard together (20-30 min). Use the Criteria Guide for prompts and calibration.</t>
  </si>
  <si>
    <t>2.  Score each of the 21 criteria 0-4. Use N/A only where allowed (B2 when no AI).</t>
  </si>
  <si>
    <t>Scoring scale (same for all 21 criteria)</t>
  </si>
  <si>
    <t>Score</t>
  </si>
  <si>
    <t>Label</t>
  </si>
  <si>
    <t>Meaning</t>
  </si>
  <si>
    <t>0</t>
  </si>
  <si>
    <t>Not considered</t>
  </si>
  <si>
    <t>The topic has not come up in the team’s thinking or prototype.</t>
  </si>
  <si>
    <t>1</t>
  </si>
  <si>
    <t>Aware</t>
  </si>
  <si>
    <t>The team can name the issue or framework, but nothing is applied yet.</t>
  </si>
  <si>
    <t>2</t>
  </si>
  <si>
    <t>Considered</t>
  </si>
  <si>
    <t>Discussed within the team and partially reflected in the prototype or plan.</t>
  </si>
  <si>
    <t>3</t>
  </si>
  <si>
    <t>Integrated</t>
  </si>
  <si>
    <t>Clearly built into the prototype and/or business plan through concrete design choices.</t>
  </si>
  <si>
    <t>4</t>
  </si>
  <si>
    <t>Evidenced</t>
  </si>
  <si>
    <t>Integrated AND supported by evidence (data, user input, expert check) - defensible in front of a jury or investor.</t>
  </si>
  <si>
    <t>N/A</t>
  </si>
  <si>
    <t>Not applicable</t>
  </si>
  <si>
    <t>Use only where explicitly allowed (e.g. B2 when no AI is used). Excluded from averages.</t>
  </si>
  <si>
    <t>Alignment bands (EU Alignment Index, 0-4)</t>
  </si>
  <si>
    <t>Index</t>
  </si>
  <si>
    <t>Band</t>
  </si>
  <si>
    <t>Interpretation</t>
  </si>
  <si>
    <t>0.0 - 0.9</t>
  </si>
  <si>
    <t>Early awareness</t>
  </si>
  <si>
    <t>EU dimensions largely unexplored - mentor should prioritise them in remaining sessions.</t>
  </si>
  <si>
    <t>1.0 - 1.9</t>
  </si>
  <si>
    <t>Emerging alignment</t>
  </si>
  <si>
    <t>Awareness exists; integration into the prototype has started but is thin.</t>
  </si>
  <si>
    <t>2.0 - 2.9</t>
  </si>
  <si>
    <t>Aligned</t>
  </si>
  <si>
    <t>EU principles visibly shape the prototype and plan. Solid for hackathon stage.</t>
  </si>
  <si>
    <t>3.0 - 4.0</t>
  </si>
  <si>
    <t>EU-ready (for stage)</t>
  </si>
  <si>
    <t>Integrated and evidenced - strong candidate on EU compliance criteria for accelerator selection.</t>
  </si>
  <si>
    <t>EU Alignment Scorecard - Team Assessment</t>
  </si>
  <si>
    <t>Completed jointly by mentor and team (20-30 min). Score 0-4 per criterion; N/A only where allowed. Score what exists - evidence beats claims.</t>
  </si>
  <si>
    <t>Team name</t>
  </si>
  <si>
    <t>Challenge</t>
  </si>
  <si>
    <t>Medpark: on-premise multilingual Minutes of Meeting (RO/RU/EN audio -&gt; MoM -&gt; email)</t>
  </si>
  <si>
    <t>Primary sector</t>
  </si>
  <si>
    <t>HealthTech</t>
  </si>
  <si>
    <t>TRL estimate (1-9)</t>
  </si>
  <si>
    <t>4 - Validated in lab</t>
  </si>
  <si>
    <t>Mentor</t>
  </si>
  <si>
    <t>Date</t>
  </si>
  <si>
    <t>ID</t>
  </si>
  <si>
    <t>Criterion</t>
  </si>
  <si>
    <t>Question - mentor prompt</t>
  </si>
  <si>
    <t>Notes / evidence</t>
  </si>
  <si>
    <t>EU reference</t>
  </si>
  <si>
    <t>A. Sustainability &amp; Green Deal alignment</t>
  </si>
  <si>
    <t>A1</t>
  </si>
  <si>
    <t>Green Deal problem fit</t>
  </si>
  <si>
    <t>Which Green Deal priority does your solution serve? Finish the sentence: “This helps the EU reach …”
e.g. cleaner energy, a circular economy, sustainable mobility, a healthier food system, biodiversity protection, and zero pollution.</t>
  </si>
  <si>
    <t>DRAFT. Not a Green Deal solution; its goal is health and digital. Only an indirect link: all processing on-prem (no cloud data-centre traffic), paperless minutes. To raise: state the twin green+digital link in the pitch.</t>
  </si>
  <si>
    <t>European Green Deal; Fit for 55</t>
  </si>
  <si>
    <t>A2</t>
  </si>
  <si>
    <t>Eco-design &amp; circularity</t>
  </si>
  <si>
    <t>Where in the lifecycle is your biggest footprint? What did you change in the design because of it?</t>
  </si>
  <si>
    <t>Software only, no new device. Design choice: CPU-only stack (gemma3:4b + quantised whisper.cpp) so it runs on an existing hospital server or laptop (target: 1x16 GB GPU or 32 GB RAM CPU), no high-end hardware purchase. Lifecycle footprint = electricity in use.</t>
  </si>
  <si>
    <t>Ecodesign (ESPR); CE-marking eco-design principles</t>
  </si>
  <si>
    <t>A3</t>
  </si>
  <si>
    <t>Footprint of the tech itself</t>
  </si>
  <si>
    <t>How heavy is your AI/data stack? Could a smaller model, edge processing or less data do the job?</t>
  </si>
  <si>
    <t>Main driver: LLM + ASR compute. Built mitigations: 4B model instead of 8B (Qwen3-8B: 42 min, 10/25 facts; gemma3:4b: ~45-90 s after transcript, 19-21/25) on a 15 W laptop CPU; q8/turbo Whisper; Silero VAD skips silence; chunked extraction runs while Whisper transcribes. Timings logged in out/*.meta.json. For 4: measure Wh per 60-min meeting.</t>
  </si>
  <si>
    <t>Green Deal twin (green + digital) transition</t>
  </si>
  <si>
    <t>A4</t>
  </si>
  <si>
    <t>Do no significant harm</t>
  </si>
  <si>
    <t>If this scales ×1000, what breaks or pollutes? Who could be harmed environmentally?</t>
  </si>
  <si>
    <t>At x1000 hospitals: one small server each, no cloud. Risks: new GPUs = e-waste; audio/transcript storage growth. Mitigation ideas (not built): reuse existing servers, auto-delete audio after MoM is approved. No written DNSH list yet.</t>
  </si>
  <si>
    <t>EU Taxonomy - Do No Significant Harm principle</t>
  </si>
  <si>
    <t>B. Digitalisation priorities (AI, HPC, cybersecurity)</t>
  </si>
  <si>
    <t>B1</t>
  </si>
  <si>
    <t>Digital Europe capacity fit</t>
  </si>
  <si>
    <t>Which strategic digital capacity does your solution use or strengthen?
Focus areas: digital capacities in AI, cybersecurity, cloud/data, advanced digital skills, wider deployment of digital technologies and support for digital transformation across the economy and public sector.</t>
  </si>
  <si>
    <t>Uses and strengthens AI capacity (open-weight ASR + LLM run locally) and digital transformation of the health/public sector (automated hospital documentation); structured JSON output for automation. Not yet in the roadmap as planned use of EU AI resources.</t>
  </si>
  <si>
    <t>Digital Europe Programme</t>
  </si>
  <si>
    <t>B2</t>
  </si>
  <si>
    <t>Trustworthy AI &amp; AI Act awareness  (N/A if no AI)</t>
  </si>
  <si>
    <t>Where exactly is AI in your system? Could it be high-risk (health, critical infrastructure, employment)? Who can override it?</t>
  </si>
  <si>
    <t>AI in 3 places: Whisper ASR, pyannote diarisation, gemma3:4b extraction/summary. Rough class: limited risk (transparency) as an admin documentation tool; could become high-risk if output drives clinical decisions (MDR software). Built safeguards: doses/lab values checked against transcript else '⚠ unverified'; every item timestamped to audio; code, not model, decides patient identity; AI suggestions in a separate 'not decided in the meeting' section. Missing: human approval before email, ALTAI self-check.</t>
  </si>
  <si>
    <t>EU AI Act; ALTAI</t>
  </si>
  <si>
    <t>B3</t>
  </si>
  <si>
    <t>Cybersecurity by design</t>
  </si>
  <si>
    <t>What is the worst realistic attack? What did you implement - even minimally - against it?</t>
  </si>
  <si>
    <t>Worst realistic incident: patient data leaves the hospital (cloud API, public mail) or MoM reaches wrong recipients. Built: zero external calls at inference, Ollama on 127.0.0.1, models downloaded once then offline, HF token only in gitignored .env, audio/transcripts gitignored, temp WAV in auto-deleted temp dir. Missing: auth on web UI, encryption at rest, internal SMTP only (Mailpit), air-gap demo.</t>
  </si>
  <si>
    <t>NIS2 Directive; Cyber Resilience Act</t>
  </si>
  <si>
    <t>B4</t>
  </si>
  <si>
    <t>Use of EU digital infrastructure</t>
  </si>
  <si>
    <t>How do you plan to get the infrastructure? From where? Where would you test this in real conditions? Which EDIH or TEF fits your case?
EDIH = support for digital adoption (462 in the official catalogue). TEF = testing and validation for emerging tech, especially AI (several across Europe, by sector: agri-food, healthcare, manufacturing, smart cities and communities).</t>
  </si>
  <si>
    <t>No EDIH/TEF named yet. To check with mentor: a health-sector TEF for testing AI in real hospital conditions; an EDIH from the official catalogue (Moldova or Romania) for test-before-invest. No HPC need: design is deliberately small-compute.</t>
  </si>
  <si>
    <t>EDIHs; TEFs; EuroHPC</t>
  </si>
  <si>
    <t>C. GDPR, data protection &amp; ethics</t>
  </si>
  <si>
    <t>C1</t>
  </si>
  <si>
    <t>Personal data mapping &amp; minimisation</t>
  </si>
  <si>
    <t>What are the data you are collecting from people? What could you drop and still work?</t>
  </si>
  <si>
    <t>Data touched: staff voices (audio), speaker embeddings (pyannote, in memory, not stored), transcript with patient health data (special category), staff names mentioned, output MoM. Minimisation already: patients by bed number, speakers as SPEAKER 1/2 (no identification), temp audio deleted. For 3: written inventory + audio retention rule.</t>
  </si>
  <si>
    <t>GDPR Art. 5</t>
  </si>
  <si>
    <t>C2</t>
  </si>
  <si>
    <t>Lawful basis &amp; consent</t>
  </si>
  <si>
    <t>Are you allowed to process this data? How do you plan to get the consent?</t>
  </si>
  <si>
    <t>Health data = GDPR Art. 9. Plausible basis: hospital is controller, Art. 6(1)(c)/(e) + Art. 9(2)(h) (management of health care); staff informed of recording at meeting start. Not yet written down or shown in the product. Confirm with Medpark DPO.</t>
  </si>
  <si>
    <t>GDPR Art. 6 &amp; 9</t>
  </si>
  <si>
    <t>C3</t>
  </si>
  <si>
    <t>Privacy by design &amp; by default</t>
  </si>
  <si>
    <t>How do you ensure privacy?</t>
  </si>
  <si>
    <t>Privacy in the architecture: 100% on-prem inference, no cloud; temp files auto-deleted; anonymous speaker labels; patients by bed, not name; recordings and transcripts excluded from git; delivery planned only via internal SMTP. Two or more concrete technical choices in the prototype.</t>
  </si>
  <si>
    <t>GDPR Art. 25</t>
  </si>
  <si>
    <t>C4</t>
  </si>
  <si>
    <t>Experimentation ethics</t>
  </si>
  <si>
    <t>How do you ensure ethics in respect to GDPR and data processing?
Look for signs of strong technical/organisational safeguards: informed test users, no real sensitive data in demos, DPIA awareness for high-risk processing.</t>
  </si>
  <si>
    <t>Demo uses organiser-provided anonymised Medpark recordings; no real patient data added. DPIA required (health data + AI + systematic processing): flagged, not written. To add: recording notice/consent step in the UI, pilot plan agreed with the DPO.</t>
  </si>
  <si>
    <t>GDPR Art. 35 (DPIA)</t>
  </si>
  <si>
    <t>D. Sectoral relevance (agriculture, health, energy)   - score against the team’s primary sector</t>
  </si>
  <si>
    <t>D1</t>
  </si>
  <si>
    <t>Sector policy priority fit</t>
  </si>
  <si>
    <t>Which EU sector strategy would “claim” your solution? Which target in it do you serve?</t>
  </si>
  <si>
    <t>HealthTech. EHDS / digital health: structured, machine-readable record (JSON) of clinical and management decisions made in the hospital. MDR: intended purpose must be fixed as 'meeting documentation, not clinical decision support' to stay outside device scope.</t>
  </si>
  <si>
    <t>Sector policy maps (ToT toolkit)</t>
  </si>
  <si>
    <t>D2</t>
  </si>
  <si>
    <t>Stakeholder &amp; value-chain fit</t>
  </si>
  <si>
    <t>Who must say “yes” for adoption: user, buyer, regulator, integrator? Which of them have you talked to?</t>
  </si>
  <si>
    <t>Buyer/challenge owner: Medpark executive leadership. Users: medical boards, ICU teams, admin staff. Gatekeepers: hospital IT (on-prem deploy), DPO (GDPR), medical director (clinical accuracy). Input so far: challenge brief + sample recordings; direct conversations still to be documented.</t>
  </si>
  <si>
    <t>EHDS; MDR (intended purpose)</t>
  </si>
  <si>
    <t>D3</t>
  </si>
  <si>
    <t>Sector validation route</t>
  </si>
  <si>
    <t>What is the very next experiment that this sector would consider credible?</t>
  </si>
  <si>
    <t>Next credible experiment: 4-week shadow pilot at Medpark on ICU daily handover. AI MoM vs manually written minutes; clinicians rate accuracy and time saved; runs fully offline on hospital hardware.</t>
  </si>
  <si>
    <t>TEF (health); EDIH</t>
  </si>
  <si>
    <t>D4</t>
  </si>
  <si>
    <t>Sector evidence &amp; data standards</t>
  </si>
  <si>
    <t>What proof will your first paying customer ask for? How will you produce it?</t>
  </si>
  <si>
    <t>Customer will ask: are decisions/owners/deadlines correct, does data stay inside, how fast. Prototype already produces evidence: bench/eval_minutes.py scores MoM vs 25 reference facts (19-21/25) with hallucination penalties; per-run timing in out/*.meta.json. Next: WER on RO/RU/EN code-switching, clinician-verified test set.</t>
  </si>
  <si>
    <t>EHDS; MDR clinical evidence</t>
  </si>
  <si>
    <t>E. EU market scalability</t>
  </si>
  <si>
    <t>E1</t>
  </si>
  <si>
    <t>EU market definition</t>
  </si>
  <si>
    <t>Which EU country first, and why that one? How many potential customers there?</t>
  </si>
  <si>
    <t>Pilot market: Moldova (Medpark), not EU. First EU country candidate: Romania (same language, Romanian medical lexicon reusable). Number of potential hospital customers not estimated yet.</t>
  </si>
  <si>
    <t>EU single market</t>
  </si>
  <si>
    <t>E2</t>
  </si>
  <si>
    <t>EU value proposition &amp; competition</t>
  </si>
  <si>
    <t>Name three competitors already selling in the EU. Why would their customer switch to you?</t>
  </si>
  <si>
    <t>Competitors to verify: Microsoft Teams Premium/Copilot recap, Otter.ai, Fireflies (cloud meeting notes); Nuance DAX Copilot, Tandem Health (medical scribes). Why switch: fully on-prem, RO/RU/EN code-switching + medical lexicon, board/handover meetings with decisions and owners. Not yet tested with customers.</t>
  </si>
  <si>
    <t>E3</t>
  </si>
  <si>
    <t>Business model for EU scale</t>
  </si>
  <si>
    <t>Who pays? What changes from country to country?</t>
  </si>
  <si>
    <t>Draft: hospital pays annual on-prem licence per server + setup/integration. Changes per country: language lexicon, EHR/mail integration, national health-data rules, public procurement. Not worked out yet.</t>
  </si>
  <si>
    <t>E4</t>
  </si>
  <si>
    <t>Market-entry requirements &amp; costs</t>
  </si>
  <si>
    <t>What must be true or certified before your first EU sale? What will that cost in time and money?</t>
  </si>
  <si>
    <t>Before first EU sale: MDR qualification decision (intended purpose), AI Act transparency, DPIA template for the customer, security documentation (hospitals fall under NIS2). CE marking only if it becomes clinical decision support. Time and cost not estimated.</t>
  </si>
  <si>
    <t>CE marking; harmonised standards</t>
  </si>
  <si>
    <t>E5</t>
  </si>
  <si>
    <t>EU funding &amp; growth pathway</t>
  </si>
  <si>
    <t>Given your TRL, which EU instrument fits next? What would you apply for within 12 months?
EIC Pathfinder (TRL 1-4), EIC Transition (TRL 4-6), EIC Accelerator (TRL 6+), Horizon Europe, Digital Europe, EDIH services.</t>
  </si>
  <si>
    <t>TRL ~4 (validated in lab on real anonymised recordings). Fits: EDIH services (test-before-invest) within 12 months; Horizon Europe collaborative health/digital project with a hospital partner; EIC Pathfinder/Transition overlap at TRL 4, eligibility to check. Moldova is associated to Horizon Europe and Digital Europe. No application planned yet.</t>
  </si>
  <si>
    <t>EIC; Horizon Europe; Digital Europe</t>
  </si>
  <si>
    <t>Results (automatic)</t>
  </si>
  <si>
    <t>D. Sectoral relevance (agriculture, health, energy)</t>
  </si>
  <si>
    <t>EU ALIGNMENT INDEX (0-4)</t>
  </si>
  <si>
    <t>Alignment band</t>
  </si>
  <si>
    <t>Criteria Guide - full rubric for mentors</t>
  </si>
  <si>
    <t>Scale for every criterion: 0 not considered · 1 aware · 2 considered · 3 integrated · 4 evidenced. “What good looks like” describes level 3-4.</t>
  </si>
  <si>
    <t>What it means</t>
  </si>
  <si>
    <t>Question &amp; hints</t>
  </si>
  <si>
    <t>What good looks like (3-4)</t>
  </si>
  <si>
    <t>The problem addressed clearly links to a European Green Deal priority (climate neutrality, circular economy, zero pollution, biodiversity, resource efficiency, sustainable food).</t>
  </si>
  <si>
    <t>Which Green Deal priority does your solution serve? Finish the sentence: “This helps the EU reach …”
Hint: e.g. cleaner energy, a circular economy, sustainable mobility, a healthier food system, biodiversity protection, and zero pollution.</t>
  </si>
  <si>
    <t>Team names the specific priority and the link is visible in how the prototype is framed and pitched, not just claimed.</t>
  </si>
  <si>
    <t>Lifecycle thinking is applied to the solution: materials, energy in use, durability, repair, reuse, end-of-life.</t>
  </si>
  <si>
    <t>At least one concrete design choice made for circularity/efficiency; hardware teams can sketch the lifecycle.</t>
  </si>
  <si>
    <t>The solution’s own footprint (AI/compute energy, cloud, data storage, devices, logistics) is considered and minimised.</t>
  </si>
  <si>
    <t>Team states the main footprint driver and applies at least one mitigation (model size, hosting, retention).</t>
  </si>
  <si>
    <t>Possible negative environmental side-effects (pollution shift, waste, rebound effects) are identified and mitigated.</t>
  </si>
  <si>
    <t>Honest risk list with at least one mitigation; no obvious harm ignored.</t>
  </si>
  <si>
    <t>The solution clearly maps to at least one strategic Digital Europe capacity.</t>
  </si>
  <si>
    <t>Which strategic digital capacity does your solution use or strengthen?
Hint: Focus areas: digital capacities in AI, cybersecurity, cloud/data, advanced digital skills, wider deployment of digital technologies and support for digital transformation across the economy and public sector.</t>
  </si>
  <si>
    <t>Mapping is explicit and shapes the roadmap (e.g. planned use of EU AI or HPC resources).</t>
  </si>
  <si>
    <t>Trustworthy AI &amp; AI Act awareness (N/A if no AI)</t>
  </si>
  <si>
    <t>AI use is defined; the likely AI Act risk class is estimated; human oversight, transparency and bias risks are addressed.</t>
  </si>
  <si>
    <t>Correct rough risk classification plus at least one concrete safeguard implemented in the prototype.</t>
  </si>
  <si>
    <t>Main threats are identified and basic protections exist in the prototype (authentication, encryption, secure APIs, update path).</t>
  </si>
  <si>
    <t>Threat model articulated; 2-3 basic controls actually implemented, not promised.</t>
  </si>
  <si>
    <t>The team knows which EU structures could test or scale the solution (EDIHs, TEFs, EuroHPC, sandboxes) and has a realistic next step.</t>
  </si>
  <si>
    <t>How do you plan to get the infrastructure? From where? Where would you test this in real conditions? Which EDIH or TEF fits your case?
Hint: EDIH = support for digital adoption (462 in the official catalogue). TEF = testing and validation for emerging tech, especially AI (several across Europe, by sector: agri-food, healthcare, manufacturing, smart cities and communities).</t>
  </si>
  <si>
    <t>One named facility/programme plus a concrete idea of what to test there.</t>
  </si>
  <si>
    <t>The team knows what personal data the solution touches (including indirect: logs, sensors, images) and collects only what is needed.</t>
  </si>
  <si>
    <t>Complete data inventory; at least one minimisation decision taken.</t>
  </si>
  <si>
    <t>For each purpose a lawful basis is identified; consent flows are sketched where needed; special categories (health!) are flagged.</t>
  </si>
  <si>
    <t>Correct basis per purpose; special-category data recognised with stricter handling.</t>
  </si>
  <si>
    <t>Privacy is built into the architecture: pseudonymisation/anonymisation, retention limits, access control, local/edge processing where possible.</t>
  </si>
  <si>
    <t>Two or more concrete technical choices in the prototype driven by privacy.</t>
  </si>
  <si>
    <t>Hackathon and pilot experiments are ethical: informed test users, no real sensitive data in demos, awareness of when a DPIA is needed.</t>
  </si>
  <si>
    <t>How do you ensure ethics in respect to GDPR and data processing?
Hint: Look for signs of strong technical/organisational safeguards: informed test users, no real sensitive data in demos, DPIA awareness for high-risk processing.</t>
  </si>
  <si>
    <t>Synthetic or consented data in the demo; ethical pilot plan; DPIA flagged if high-risk.</t>
  </si>
  <si>
    <t>D. Sectoral relevance (agriculture, health, energy)   - score against the team’s primary sector; cross-sector teams use the Digital Europe frameworks</t>
  </si>
  <si>
    <t>The solution addresses a named priority of the relevant EU sector framework - Agri: Farm to Fork / CAP / Soil Strategy; Health: EU Health Union / EHDS; Energy: Climate Law / Fit for 55 / REPowerEU; Cross-sector: Digital Europe / New European Innovation Agenda.</t>
  </si>
  <si>
    <t>Named framework and named priority, reflected in the problem framing.</t>
  </si>
  <si>
    <t>The right users and gatekeepers are identified (farmers/advisors/co-ops; clinicians/labs/hospital IT; utilities/DSOs/industrial users) and at least one has been consulted.</t>
  </si>
  <si>
    <t>Value chain mapped; at least one real conversation done or scheduled, with evidence.</t>
  </si>
  <si>
    <t>-</t>
  </si>
  <si>
    <t>A realistic next validation step is defined: farm pilot, advisory-network trial, clinical partner, living lab, grid/utility demo, TEF/EDIH testing.</t>
  </si>
  <si>
    <t>Specific, resourced, sector-credible next step with a named type of partner.</t>
  </si>
  <si>
    <t>The team knows what evidence the sector demands (agronomic results, clinical evidence, grid performance/safety) and the prototype starts generating it.</t>
  </si>
  <si>
    <t>Evidence requirements named; data collection designed into the prototype.</t>
  </si>
  <si>
    <t>A target EU customer segment and a realistic first-entry market are identified, with a rough size estimate.</t>
  </si>
  <si>
    <t>Named entry market with reasoning (regulation, partners, language, competition) and a rough market size.</t>
  </si>
  <si>
    <t>The team knows the main competing solutions in the EU and can state why theirs wins for EU customers.</t>
  </si>
  <si>
    <t>Competitor list is real (never “no competitors”); differentiation is specific.</t>
  </si>
  <si>
    <t>Revenue model, pricing and channels are plausible for EU customers and exploit the single market (one product, many countries).</t>
  </si>
  <si>
    <t>Coherent model; team can explain what scales for free in the single market and what does not (language, integration, regulation).</t>
  </si>
  <si>
    <t>Certification, standards, CE marking, localisation and compliance costs for EU entry are understood and roughly estimated.</t>
  </si>
  <si>
    <t>Entry requirements listed with rough effort, reflected in the roadmap.</t>
  </si>
  <si>
    <t>The team can name realistic next EU instruments for their stage and how they would use them.</t>
  </si>
  <si>
    <t>Instrument matched to the team’s actual TRL/stage; concrete 12-month funding or growth step.</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</si>
</sst>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yyyy\-mm\-dd"/>
  </numFmts>
  <fonts count="45">
    <font>
      <sz val="11"/>
      <color theme="1"/>
      <name val="Calibri"/>
      <charset val="134"/>
      <scheme val="minor"/>
    </font>
    <font>
      <b/>
      <sz val="15"/>
      <color rgb="FFFFFFFF"/>
      <name val="Arial"/>
      <charset val="134"/>
    </font>
    <font>
      <i/>
      <sz val="9"/>
      <color rgb="FF595959"/>
      <name val="Arial"/>
      <charset val="134"/>
    </font>
    <font>
      <b/>
      <sz val="10"/>
      <color rgb="FFFFFFFF"/>
      <name val="Arial"/>
      <charset val="134"/>
    </font>
    <font>
      <b/>
      <sz val="11"/>
      <color rgb="FF375623"/>
      <name val="Arial"/>
      <charset val="134"/>
    </font>
    <font>
      <b/>
      <sz val="10"/>
      <color rgb="FF000000"/>
      <name val="Arial"/>
      <charset val="134"/>
    </font>
    <font>
      <sz val="9"/>
      <color rgb="FF000000"/>
      <name val="Arial"/>
      <charset val="134"/>
    </font>
    <font>
      <b/>
      <sz val="11"/>
      <color rgb="FF1F4E79"/>
      <name val="Arial"/>
      <charset val="134"/>
    </font>
    <font>
      <b/>
      <sz val="11"/>
      <color rgb="FF4A3564"/>
      <name val="Arial"/>
      <charset val="134"/>
    </font>
    <font>
      <b/>
      <sz val="11"/>
      <color rgb="FF833C00"/>
      <name val="Arial"/>
      <charset val="134"/>
    </font>
    <font>
      <b/>
      <sz val="11"/>
      <color rgb="FF7F6000"/>
      <name val="Arial"/>
      <charset val="134"/>
    </font>
    <font>
      <sz val="10"/>
      <color rgb="FF000000"/>
      <name val="Arial"/>
      <charset val="134"/>
    </font>
    <font>
      <b/>
      <sz val="9"/>
      <color rgb="FF000000"/>
      <name val="Arial"/>
      <charset val="134"/>
    </font>
    <font>
      <sz val="8"/>
      <color rgb="FF595959"/>
      <name val="Arial"/>
      <charset val="134"/>
    </font>
    <font>
      <b/>
      <sz val="12"/>
      <color rgb="FFFFFFFF"/>
      <name val="Arial"/>
      <charset val="134"/>
    </font>
    <font>
      <b/>
      <sz val="10"/>
      <color rgb="FF375623"/>
      <name val="Arial"/>
      <charset val="134"/>
    </font>
    <font>
      <b/>
      <sz val="10"/>
      <color rgb="FF1F4E79"/>
      <name val="Arial"/>
      <charset val="134"/>
    </font>
    <font>
      <b/>
      <sz val="10"/>
      <color rgb="FF4A3564"/>
      <name val="Arial"/>
      <charset val="134"/>
    </font>
    <font>
      <b/>
      <sz val="10"/>
      <color rgb="FF833C00"/>
      <name val="Arial"/>
      <charset val="134"/>
    </font>
    <font>
      <b/>
      <sz val="10"/>
      <color rgb="FF7F6000"/>
      <name val="Arial"/>
      <charset val="134"/>
    </font>
    <font>
      <b/>
      <sz val="11"/>
      <color rgb="FF000000"/>
      <name val="Arial"/>
      <charset val="134"/>
    </font>
    <font>
      <b/>
      <sz val="12"/>
      <color rgb="FF000000"/>
      <name val="Arial"/>
      <charset val="134"/>
    </font>
    <font>
      <b/>
      <sz val="16"/>
      <color rgb="FFFFFFFF"/>
      <name val="Arial"/>
      <charset val="134"/>
    </font>
    <font>
      <i/>
      <sz val="10"/>
      <color rgb="FF595959"/>
      <name val="Arial"/>
      <charset val="134"/>
    </font>
    <font>
      <b/>
      <sz val="12"/>
      <color rgb="FF1F3864"/>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SimSun"/>
      <charset val="134"/>
    </font>
  </fonts>
  <fills count="42">
    <fill>
      <patternFill patternType="none"/>
    </fill>
    <fill>
      <patternFill patternType="gray125"/>
    </fill>
    <fill>
      <patternFill patternType="solid">
        <fgColor rgb="FF1F3864"/>
        <bgColor rgb="FF1F3864"/>
      </patternFill>
    </fill>
    <fill>
      <patternFill patternType="solid">
        <fgColor rgb="FFC6E0B4"/>
        <bgColor rgb="FFC6E0B4"/>
      </patternFill>
    </fill>
    <fill>
      <patternFill patternType="solid">
        <fgColor rgb="FFBDD7EE"/>
        <bgColor rgb="FFBDD7EE"/>
      </patternFill>
    </fill>
    <fill>
      <patternFill patternType="solid">
        <fgColor rgb="FFD9D2E9"/>
        <bgColor rgb="FFD9D2E9"/>
      </patternFill>
    </fill>
    <fill>
      <patternFill patternType="solid">
        <fgColor rgb="FFFCE4D6"/>
        <bgColor rgb="FFFCE4D6"/>
      </patternFill>
    </fill>
    <fill>
      <patternFill patternType="solid">
        <fgColor rgb="FFFFF2CC"/>
        <bgColor rgb="FFFFF2CC"/>
      </patternFill>
    </fill>
    <fill>
      <patternFill patternType="solid">
        <fgColor rgb="FFF2F2F2"/>
        <bgColor rgb="FFF2F2F2"/>
      </patternFill>
    </fill>
    <fill>
      <patternFill patternType="solid">
        <fgColor rgb="FFFFFDE7"/>
        <bgColor rgb="FFFFFDE7"/>
      </patternFill>
    </fill>
    <fill>
      <patternFill patternType="solid">
        <fgColor rgb="FFD9E2F3"/>
        <bgColor rgb="FFD9E2F3"/>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0" fillId="11" borderId="4" applyNumberFormat="0" applyFont="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5" applyNumberFormat="0" applyFill="0" applyAlignment="0" applyProtection="0">
      <alignment vertical="center"/>
    </xf>
    <xf numFmtId="0" fontId="31" fillId="0" borderId="5" applyNumberFormat="0" applyFill="0" applyAlignment="0" applyProtection="0">
      <alignment vertical="center"/>
    </xf>
    <xf numFmtId="0" fontId="32" fillId="0" borderId="6" applyNumberFormat="0" applyFill="0" applyAlignment="0" applyProtection="0">
      <alignment vertical="center"/>
    </xf>
    <xf numFmtId="0" fontId="32" fillId="0" borderId="0" applyNumberFormat="0" applyFill="0" applyBorder="0" applyAlignment="0" applyProtection="0">
      <alignment vertical="center"/>
    </xf>
    <xf numFmtId="0" fontId="33" fillId="12" borderId="7" applyNumberFormat="0" applyAlignment="0" applyProtection="0">
      <alignment vertical="center"/>
    </xf>
    <xf numFmtId="0" fontId="34" fillId="13" borderId="8" applyNumberFormat="0" applyAlignment="0" applyProtection="0">
      <alignment vertical="center"/>
    </xf>
    <xf numFmtId="0" fontId="35" fillId="13" borderId="7" applyNumberFormat="0" applyAlignment="0" applyProtection="0">
      <alignment vertical="center"/>
    </xf>
    <xf numFmtId="0" fontId="36" fillId="14" borderId="9" applyNumberFormat="0" applyAlignment="0" applyProtection="0">
      <alignment vertical="center"/>
    </xf>
    <xf numFmtId="0" fontId="37" fillId="0" borderId="10" applyNumberFormat="0" applyFill="0" applyAlignment="0" applyProtection="0">
      <alignment vertical="center"/>
    </xf>
    <xf numFmtId="0" fontId="38" fillId="0" borderId="11" applyNumberFormat="0" applyFill="0" applyAlignment="0" applyProtection="0">
      <alignment vertical="center"/>
    </xf>
    <xf numFmtId="0" fontId="39" fillId="15" borderId="0" applyNumberFormat="0" applyBorder="0" applyAlignment="0" applyProtection="0">
      <alignment vertical="center"/>
    </xf>
    <xf numFmtId="0" fontId="40" fillId="16" borderId="0" applyNumberFormat="0" applyBorder="0" applyAlignment="0" applyProtection="0">
      <alignment vertical="center"/>
    </xf>
    <xf numFmtId="0" fontId="41" fillId="17" borderId="0" applyNumberFormat="0" applyBorder="0" applyAlignment="0" applyProtection="0">
      <alignment vertical="center"/>
    </xf>
    <xf numFmtId="0" fontId="42" fillId="18" borderId="0" applyNumberFormat="0" applyBorder="0" applyAlignment="0" applyProtection="0">
      <alignment vertical="center"/>
    </xf>
    <xf numFmtId="0" fontId="43" fillId="19" borderId="0" applyNumberFormat="0" applyBorder="0" applyAlignment="0" applyProtection="0">
      <alignment vertical="center"/>
    </xf>
    <xf numFmtId="0" fontId="43" fillId="20" borderId="0" applyNumberFormat="0" applyBorder="0" applyAlignment="0" applyProtection="0">
      <alignment vertical="center"/>
    </xf>
    <xf numFmtId="0" fontId="42" fillId="21" borderId="0" applyNumberFormat="0" applyBorder="0" applyAlignment="0" applyProtection="0">
      <alignment vertical="center"/>
    </xf>
    <xf numFmtId="0" fontId="42" fillId="22" borderId="0" applyNumberFormat="0" applyBorder="0" applyAlignment="0" applyProtection="0">
      <alignment vertical="center"/>
    </xf>
    <xf numFmtId="0" fontId="43" fillId="23" borderId="0" applyNumberFormat="0" applyBorder="0" applyAlignment="0" applyProtection="0">
      <alignment vertical="center"/>
    </xf>
    <xf numFmtId="0" fontId="43" fillId="24" borderId="0" applyNumberFormat="0" applyBorder="0" applyAlignment="0" applyProtection="0">
      <alignment vertical="center"/>
    </xf>
    <xf numFmtId="0" fontId="42" fillId="25" borderId="0" applyNumberFormat="0" applyBorder="0" applyAlignment="0" applyProtection="0">
      <alignment vertical="center"/>
    </xf>
    <xf numFmtId="0" fontId="42" fillId="26" borderId="0" applyNumberFormat="0" applyBorder="0" applyAlignment="0" applyProtection="0">
      <alignment vertical="center"/>
    </xf>
    <xf numFmtId="0" fontId="43" fillId="27" borderId="0" applyNumberFormat="0" applyBorder="0" applyAlignment="0" applyProtection="0">
      <alignment vertical="center"/>
    </xf>
    <xf numFmtId="0" fontId="43" fillId="28" borderId="0" applyNumberFormat="0" applyBorder="0" applyAlignment="0" applyProtection="0">
      <alignment vertical="center"/>
    </xf>
    <xf numFmtId="0" fontId="42" fillId="29" borderId="0" applyNumberFormat="0" applyBorder="0" applyAlignment="0" applyProtection="0">
      <alignment vertical="center"/>
    </xf>
    <xf numFmtId="0" fontId="42" fillId="30" borderId="0" applyNumberFormat="0" applyBorder="0" applyAlignment="0" applyProtection="0">
      <alignment vertical="center"/>
    </xf>
    <xf numFmtId="0" fontId="43" fillId="31" borderId="0" applyNumberFormat="0" applyBorder="0" applyAlignment="0" applyProtection="0">
      <alignment vertical="center"/>
    </xf>
    <xf numFmtId="0" fontId="43" fillId="32" borderId="0" applyNumberFormat="0" applyBorder="0" applyAlignment="0" applyProtection="0">
      <alignment vertical="center"/>
    </xf>
    <xf numFmtId="0" fontId="42" fillId="33" borderId="0" applyNumberFormat="0" applyBorder="0" applyAlignment="0" applyProtection="0">
      <alignment vertical="center"/>
    </xf>
    <xf numFmtId="0" fontId="42" fillId="34" borderId="0" applyNumberFormat="0" applyBorder="0" applyAlignment="0" applyProtection="0">
      <alignment vertical="center"/>
    </xf>
    <xf numFmtId="0" fontId="43" fillId="35" borderId="0" applyNumberFormat="0" applyBorder="0" applyAlignment="0" applyProtection="0">
      <alignment vertical="center"/>
    </xf>
    <xf numFmtId="0" fontId="43" fillId="36" borderId="0" applyNumberFormat="0" applyBorder="0" applyAlignment="0" applyProtection="0">
      <alignment vertical="center"/>
    </xf>
    <xf numFmtId="0" fontId="42" fillId="37" borderId="0" applyNumberFormat="0" applyBorder="0" applyAlignment="0" applyProtection="0">
      <alignment vertical="center"/>
    </xf>
    <xf numFmtId="0" fontId="42" fillId="38" borderId="0" applyNumberFormat="0" applyBorder="0" applyAlignment="0" applyProtection="0">
      <alignment vertical="center"/>
    </xf>
    <xf numFmtId="0" fontId="43" fillId="39" borderId="0" applyNumberFormat="0" applyBorder="0" applyAlignment="0" applyProtection="0">
      <alignment vertical="center"/>
    </xf>
    <xf numFmtId="0" fontId="43" fillId="40" borderId="0" applyNumberFormat="0" applyBorder="0" applyAlignment="0" applyProtection="0">
      <alignment vertical="center"/>
    </xf>
    <xf numFmtId="0" fontId="42" fillId="41" borderId="0" applyNumberFormat="0" applyBorder="0" applyAlignment="0" applyProtection="0">
      <alignment vertical="center"/>
    </xf>
  </cellStyleXfs>
  <cellXfs count="46">
    <xf numFmtId="0" fontId="0" fillId="0" borderId="0" xfId="0" applyAlignment="1"/>
    <xf numFmtId="0" fontId="0" fillId="0" borderId="0" xfId="0"/>
    <xf numFmtId="0" fontId="1" fillId="2" borderId="1" xfId="0" applyFont="1" applyFill="1" applyBorder="1" applyAlignment="1">
      <alignment horizontal="left" vertical="center" wrapText="1"/>
    </xf>
    <xf numFmtId="0" fontId="0" fillId="0" borderId="2" xfId="0" applyBorder="1"/>
    <xf numFmtId="0" fontId="2" fillId="0" borderId="0" xfId="0" applyFont="1" applyAlignment="1">
      <alignment horizontal="left" vertical="top" wrapText="1"/>
    </xf>
    <xf numFmtId="0" fontId="3" fillId="2" borderId="3" xfId="0" applyFont="1" applyFill="1" applyBorder="1" applyAlignment="1">
      <alignment horizontal="left" vertical="center" wrapText="1"/>
    </xf>
    <xf numFmtId="0" fontId="4" fillId="3" borderId="1" xfId="0" applyFont="1" applyFill="1" applyBorder="1" applyAlignment="1">
      <alignment horizontal="left" vertical="center" wrapText="1"/>
    </xf>
    <xf numFmtId="0" fontId="5" fillId="0" borderId="3" xfId="0" applyFont="1" applyBorder="1" applyAlignment="1">
      <alignment horizontal="center" vertical="center" wrapText="1"/>
    </xf>
    <xf numFmtId="0" fontId="5" fillId="0" borderId="3" xfId="0" applyFont="1" applyBorder="1" applyAlignment="1">
      <alignment horizontal="left" vertical="top" wrapText="1"/>
    </xf>
    <xf numFmtId="0" fontId="6" fillId="0" borderId="3" xfId="0" applyFont="1" applyBorder="1" applyAlignment="1">
      <alignment horizontal="left" vertical="top" wrapText="1"/>
    </xf>
    <xf numFmtId="0" fontId="7" fillId="4" borderId="1" xfId="0" applyFont="1" applyFill="1" applyBorder="1" applyAlignment="1">
      <alignment horizontal="left" vertical="center" wrapText="1"/>
    </xf>
    <xf numFmtId="0" fontId="8" fillId="5" borderId="1" xfId="0" applyFont="1" applyFill="1" applyBorder="1" applyAlignment="1">
      <alignment horizontal="left" vertical="center" wrapText="1"/>
    </xf>
    <xf numFmtId="0" fontId="9" fillId="6" borderId="1" xfId="0" applyFont="1" applyFill="1" applyBorder="1" applyAlignment="1">
      <alignment horizontal="left" vertical="center" wrapText="1"/>
    </xf>
    <xf numFmtId="0" fontId="10" fillId="7" borderId="1" xfId="0" applyFont="1" applyFill="1" applyBorder="1" applyAlignment="1">
      <alignment horizontal="left" vertical="center" wrapText="1"/>
    </xf>
    <xf numFmtId="0" fontId="5" fillId="8" borderId="3" xfId="0" applyFont="1" applyFill="1" applyBorder="1" applyAlignment="1">
      <alignment horizontal="center" vertical="center" wrapText="1"/>
    </xf>
    <xf numFmtId="0" fontId="11" fillId="9" borderId="1" xfId="0" applyFont="1" applyFill="1" applyBorder="1" applyAlignment="1">
      <alignment horizontal="center" vertical="center" wrapText="1"/>
    </xf>
    <xf numFmtId="0" fontId="12" fillId="8" borderId="3" xfId="0" applyFont="1" applyFill="1" applyBorder="1" applyAlignment="1">
      <alignment horizontal="center" vertical="center" wrapText="1"/>
    </xf>
    <xf numFmtId="0" fontId="11" fillId="9" borderId="1" xfId="0" applyFont="1" applyFill="1" applyBorder="1" applyAlignment="1">
      <alignment horizontal="left" vertical="center" wrapText="1"/>
    </xf>
    <xf numFmtId="178" fontId="11" fillId="9" borderId="1" xfId="0" applyNumberFormat="1" applyFont="1" applyFill="1" applyBorder="1" applyAlignment="1">
      <alignment horizontal="left" vertical="center" wrapText="1"/>
    </xf>
    <xf numFmtId="0" fontId="3" fillId="2" borderId="3" xfId="0" applyFont="1" applyFill="1" applyBorder="1" applyAlignment="1">
      <alignment horizontal="center" vertical="center" wrapText="1"/>
    </xf>
    <xf numFmtId="0" fontId="5" fillId="0" borderId="3" xfId="0" applyFont="1" applyBorder="1" applyAlignment="1">
      <alignment horizontal="left" vertical="center" wrapText="1"/>
    </xf>
    <xf numFmtId="0" fontId="11" fillId="9" borderId="3" xfId="0" applyFont="1" applyFill="1" applyBorder="1" applyAlignment="1">
      <alignment horizontal="center" vertical="center" wrapText="1"/>
    </xf>
    <xf numFmtId="0" fontId="13" fillId="0" borderId="3" xfId="0" applyFont="1" applyBorder="1" applyAlignment="1">
      <alignment horizontal="left" vertical="top" wrapText="1"/>
    </xf>
    <xf numFmtId="0" fontId="14" fillId="2" borderId="1" xfId="0" applyFont="1" applyFill="1" applyBorder="1" applyAlignment="1">
      <alignment horizontal="left" vertical="center" wrapText="1"/>
    </xf>
    <xf numFmtId="0" fontId="15" fillId="3" borderId="1" xfId="0" applyFont="1" applyFill="1" applyBorder="1" applyAlignment="1">
      <alignment horizontal="left" vertical="center" wrapText="1"/>
    </xf>
    <xf numFmtId="2" fontId="5" fillId="0" borderId="3" xfId="0" applyNumberFormat="1" applyFont="1" applyBorder="1" applyAlignment="1">
      <alignment horizontal="center" vertical="center" wrapText="1"/>
    </xf>
    <xf numFmtId="0" fontId="11" fillId="8" borderId="1" xfId="0" applyFont="1" applyFill="1" applyBorder="1" applyAlignment="1">
      <alignment horizontal="left" vertical="top" wrapText="1"/>
    </xf>
    <xf numFmtId="0" fontId="16" fillId="4" borderId="1" xfId="0" applyFont="1" applyFill="1" applyBorder="1" applyAlignment="1">
      <alignment horizontal="left" vertical="center" wrapText="1"/>
    </xf>
    <xf numFmtId="0" fontId="17" fillId="5" borderId="1" xfId="0" applyFont="1" applyFill="1" applyBorder="1" applyAlignment="1">
      <alignment horizontal="left" vertical="center" wrapText="1"/>
    </xf>
    <xf numFmtId="0" fontId="18" fillId="6" borderId="1" xfId="0" applyFont="1" applyFill="1" applyBorder="1" applyAlignment="1">
      <alignment horizontal="left" vertical="center" wrapText="1"/>
    </xf>
    <xf numFmtId="0" fontId="19" fillId="7" borderId="1" xfId="0" applyFont="1" applyFill="1" applyBorder="1" applyAlignment="1">
      <alignment horizontal="left" vertical="center" wrapText="1"/>
    </xf>
    <xf numFmtId="0" fontId="20" fillId="10" borderId="1" xfId="0" applyFont="1" applyFill="1" applyBorder="1" applyAlignment="1">
      <alignment horizontal="left" vertical="center" wrapText="1"/>
    </xf>
    <xf numFmtId="2" fontId="21" fillId="10" borderId="3" xfId="0" applyNumberFormat="1" applyFont="1" applyFill="1" applyBorder="1" applyAlignment="1">
      <alignment horizontal="center" vertical="center" wrapText="1"/>
    </xf>
    <xf numFmtId="0" fontId="11" fillId="10" borderId="1" xfId="0" applyFont="1" applyFill="1" applyBorder="1" applyAlignment="1">
      <alignment horizontal="left" vertical="top" wrapText="1"/>
    </xf>
    <xf numFmtId="0" fontId="5" fillId="8" borderId="1" xfId="0" applyFont="1" applyFill="1" applyBorder="1" applyAlignment="1">
      <alignment horizontal="left" vertical="center" wrapText="1"/>
    </xf>
    <xf numFmtId="0" fontId="5" fillId="0" borderId="1" xfId="0" applyFont="1" applyBorder="1" applyAlignment="1">
      <alignment horizontal="left" vertical="center" wrapText="1"/>
    </xf>
    <xf numFmtId="0" fontId="22" fillId="2" borderId="1" xfId="0" applyFont="1" applyFill="1" applyBorder="1" applyAlignment="1">
      <alignment horizontal="left" vertical="center" wrapText="1"/>
    </xf>
    <xf numFmtId="0" fontId="23" fillId="0" borderId="0" xfId="0" applyFont="1" applyAlignment="1">
      <alignment horizontal="left" vertical="top" wrapText="1"/>
    </xf>
    <xf numFmtId="0" fontId="24" fillId="0" borderId="0" xfId="0" applyFont="1" applyAlignment="1">
      <alignment horizontal="left" vertical="top" wrapText="1"/>
    </xf>
    <xf numFmtId="0" fontId="11" fillId="0" borderId="0" xfId="0" applyFont="1" applyAlignment="1">
      <alignment horizontal="left" vertical="top" wrapText="1"/>
    </xf>
    <xf numFmtId="0" fontId="3" fillId="2" borderId="3" xfId="0" applyFont="1" applyFill="1" applyBorder="1" applyAlignment="1">
      <alignment horizontal="center" vertical="top" wrapText="1"/>
    </xf>
    <xf numFmtId="0" fontId="3" fillId="2" borderId="3" xfId="0" applyFont="1" applyFill="1" applyBorder="1" applyAlignment="1">
      <alignment horizontal="left" vertical="top" wrapText="1"/>
    </xf>
    <xf numFmtId="0" fontId="3" fillId="2" borderId="1" xfId="0" applyFont="1" applyFill="1" applyBorder="1" applyAlignment="1">
      <alignment horizontal="left" vertical="top" wrapText="1"/>
    </xf>
    <xf numFmtId="0" fontId="5" fillId="0" borderId="3" xfId="0" applyFont="1" applyBorder="1" applyAlignment="1">
      <alignment horizontal="center" vertical="top" wrapText="1"/>
    </xf>
    <xf numFmtId="0" fontId="11" fillId="0" borderId="1" xfId="0" applyFont="1" applyBorder="1" applyAlignment="1">
      <alignment horizontal="left" vertical="top" wrapText="1"/>
    </xf>
    <xf numFmtId="0" fontId="11" fillId="0" borderId="3" xfId="0" applyFont="1" applyBorder="1" applyAlignment="1">
      <alignment horizontal="center"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F1000"/>
  <sheetViews>
    <sheetView workbookViewId="0">
      <selection activeCell="A1" sqref="A1:F1"/>
    </sheetView>
  </sheetViews>
  <sheetFormatPr defaultColWidth="14.4296875" defaultRowHeight="15" customHeight="1" outlineLevelCol="5"/>
  <cols>
    <col min="1" max="1" width="10" style="1" customWidth="1"/>
    <col min="2" max="2" width="16" style="1" customWidth="1"/>
    <col min="3" max="6" width="20" style="1" customWidth="1"/>
    <col min="7" max="26" width="8.7109375" style="1" customWidth="1"/>
  </cols>
  <sheetData>
    <row r="1" ht="30" customHeight="1" spans="1:6">
      <c r="A1" s="36" t="s">
        <v>0</v>
      </c>
      <c r="B1" s="3"/>
      <c r="C1" s="3"/>
      <c r="D1" s="3"/>
      <c r="E1" s="3"/>
      <c r="F1" s="3"/>
    </row>
    <row r="2" customHeight="1" spans="1:6">
      <c r="A2" s="37"/>
    </row>
    <row r="4" customHeight="1" spans="1:6">
      <c r="A4" s="38" t="s">
        <v>1</v>
      </c>
    </row>
    <row r="5" customHeight="1" spans="1:6">
      <c r="A5" s="39" t="s">
        <v>2</v>
      </c>
    </row>
    <row r="6" ht="18" customHeight="1"/>
    <row r="8" customHeight="1" spans="1:6">
      <c r="A8" s="38" t="s">
        <v>3</v>
      </c>
    </row>
    <row r="9" ht="25.5" customHeight="1" spans="1:6">
      <c r="A9" s="39" t="s">
        <v>4</v>
      </c>
    </row>
    <row r="10" ht="25.5" customHeight="1" spans="1:6">
      <c r="A10" s="39" t="s">
        <v>5</v>
      </c>
    </row>
    <row r="11" ht="25.5" customHeight="1" spans="1:6">
      <c r="A11" s="39"/>
    </row>
    <row r="13" customHeight="1" spans="1:6">
      <c r="A13" s="38" t="s">
        <v>6</v>
      </c>
    </row>
    <row r="14" customHeight="1" spans="1:6">
      <c r="A14" s="40" t="s">
        <v>7</v>
      </c>
      <c r="B14" s="41" t="s">
        <v>8</v>
      </c>
      <c r="C14" s="42" t="s">
        <v>9</v>
      </c>
      <c r="D14" s="3"/>
      <c r="E14" s="3"/>
      <c r="F14" s="3"/>
    </row>
    <row r="15" ht="25.5" customHeight="1" spans="1:6">
      <c r="A15" s="43" t="s">
        <v>10</v>
      </c>
      <c r="B15" s="8" t="s">
        <v>11</v>
      </c>
      <c r="C15" s="44" t="s">
        <v>12</v>
      </c>
      <c r="D15" s="3"/>
      <c r="E15" s="3"/>
      <c r="F15" s="3"/>
    </row>
    <row r="16" ht="25.5" customHeight="1" spans="1:6">
      <c r="A16" s="43" t="s">
        <v>13</v>
      </c>
      <c r="B16" s="8" t="s">
        <v>14</v>
      </c>
      <c r="C16" s="44" t="s">
        <v>15</v>
      </c>
      <c r="D16" s="3"/>
      <c r="E16" s="3"/>
      <c r="F16" s="3"/>
    </row>
    <row r="17" ht="25.5" customHeight="1" spans="1:6">
      <c r="A17" s="43" t="s">
        <v>16</v>
      </c>
      <c r="B17" s="8" t="s">
        <v>17</v>
      </c>
      <c r="C17" s="44" t="s">
        <v>18</v>
      </c>
      <c r="D17" s="3"/>
      <c r="E17" s="3"/>
      <c r="F17" s="3"/>
    </row>
    <row r="18" ht="25.5" customHeight="1" spans="1:6">
      <c r="A18" s="43" t="s">
        <v>19</v>
      </c>
      <c r="B18" s="8" t="s">
        <v>20</v>
      </c>
      <c r="C18" s="44" t="s">
        <v>21</v>
      </c>
      <c r="D18" s="3"/>
      <c r="E18" s="3"/>
      <c r="F18" s="3"/>
    </row>
    <row r="19" ht="25.5" customHeight="1" spans="1:6">
      <c r="A19" s="43" t="s">
        <v>22</v>
      </c>
      <c r="B19" s="8" t="s">
        <v>23</v>
      </c>
      <c r="C19" s="44" t="s">
        <v>24</v>
      </c>
      <c r="D19" s="3"/>
      <c r="E19" s="3"/>
      <c r="F19" s="3"/>
    </row>
    <row r="20" ht="25.5" customHeight="1" spans="1:6">
      <c r="A20" s="43" t="s">
        <v>25</v>
      </c>
      <c r="B20" s="8" t="s">
        <v>26</v>
      </c>
      <c r="C20" s="44" t="s">
        <v>27</v>
      </c>
      <c r="D20" s="3"/>
      <c r="E20" s="3"/>
      <c r="F20" s="3"/>
    </row>
    <row r="21" ht="15.75" customHeight="1"/>
    <row r="22" customHeight="1" spans="1:6">
      <c r="A22" s="38" t="s">
        <v>28</v>
      </c>
    </row>
    <row r="23" customHeight="1" spans="1:6">
      <c r="A23" s="40" t="s">
        <v>29</v>
      </c>
      <c r="B23" s="41" t="s">
        <v>30</v>
      </c>
      <c r="C23" s="42" t="s">
        <v>31</v>
      </c>
      <c r="D23" s="3"/>
      <c r="E23" s="3"/>
      <c r="F23" s="3"/>
    </row>
    <row r="24" ht="25.5" customHeight="1" spans="1:6">
      <c r="A24" s="45" t="s">
        <v>32</v>
      </c>
      <c r="B24" s="8" t="s">
        <v>33</v>
      </c>
      <c r="C24" s="44" t="s">
        <v>34</v>
      </c>
      <c r="D24" s="3"/>
      <c r="E24" s="3"/>
      <c r="F24" s="3"/>
    </row>
    <row r="25" ht="25.5" customHeight="1" spans="1:6">
      <c r="A25" s="45" t="s">
        <v>35</v>
      </c>
      <c r="B25" s="8" t="s">
        <v>36</v>
      </c>
      <c r="C25" s="44" t="s">
        <v>37</v>
      </c>
      <c r="D25" s="3"/>
      <c r="E25" s="3"/>
      <c r="F25" s="3"/>
    </row>
    <row r="26" ht="25.5" customHeight="1" spans="1:6">
      <c r="A26" s="45" t="s">
        <v>38</v>
      </c>
      <c r="B26" s="8" t="s">
        <v>39</v>
      </c>
      <c r="C26" s="44" t="s">
        <v>40</v>
      </c>
      <c r="D26" s="3"/>
      <c r="E26" s="3"/>
      <c r="F26" s="3"/>
    </row>
    <row r="27" ht="25.5" customHeight="1" spans="1:6">
      <c r="A27" s="45" t="s">
        <v>41</v>
      </c>
      <c r="B27" s="8" t="s">
        <v>42</v>
      </c>
      <c r="C27" s="44" t="s">
        <v>43</v>
      </c>
      <c r="D27" s="3"/>
      <c r="E27" s="3"/>
      <c r="F27" s="3"/>
    </row>
    <row r="28" ht="15.75" customHeight="1"/>
    <row r="29" customHeight="1" spans="1:6">
      <c r="A29" s="38"/>
    </row>
    <row r="30" ht="30" customHeight="1" spans="1:6">
      <c r="A30" s="39"/>
    </row>
    <row r="31" ht="30" customHeight="1" spans="1:6">
      <c r="A31" s="39"/>
    </row>
    <row r="32" ht="30" customHeight="1" spans="1:6">
      <c r="A32" s="39"/>
    </row>
    <row r="33" ht="30" customHeight="1" spans="1:1">
      <c r="A33" s="39"/>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
    <mergeCell ref="A1:F1"/>
    <mergeCell ref="A2:F2"/>
    <mergeCell ref="A4:F4"/>
    <mergeCell ref="A8:F8"/>
    <mergeCell ref="A9:F9"/>
    <mergeCell ref="A10:F10"/>
    <mergeCell ref="A11:F11"/>
    <mergeCell ref="A13:F13"/>
    <mergeCell ref="C14:F14"/>
    <mergeCell ref="C15:F15"/>
    <mergeCell ref="C16:F16"/>
    <mergeCell ref="C17:F17"/>
    <mergeCell ref="C18:F18"/>
    <mergeCell ref="C19:F19"/>
    <mergeCell ref="C20:F20"/>
    <mergeCell ref="A22:F22"/>
    <mergeCell ref="C23:F23"/>
    <mergeCell ref="C24:F24"/>
    <mergeCell ref="C25:F25"/>
    <mergeCell ref="C26:F26"/>
    <mergeCell ref="C27:F27"/>
    <mergeCell ref="A29:F29"/>
    <mergeCell ref="A30:F30"/>
    <mergeCell ref="A31:F31"/>
    <mergeCell ref="A32:F32"/>
    <mergeCell ref="A33:F33"/>
    <mergeCell ref="A5:F6"/>
  </mergeCells>
  <pageMargins left="0.75" right="0.75" top="1" bottom="1" header="0" footer="0"/>
  <pageSetup paperSize="9" fitToHeight="0"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F1000"/>
  <sheetViews>
    <sheetView topLeftCell="A32" workbookViewId="0">
      <selection activeCell="A1" sqref="A1:F1"/>
    </sheetView>
  </sheetViews>
  <sheetFormatPr defaultColWidth="14.4296875" defaultRowHeight="15" customHeight="1" outlineLevelCol="5"/>
  <cols>
    <col min="1" max="1" width="12.2890625" style="1" customWidth="1"/>
    <col min="2" max="2" width="30" style="1" customWidth="1"/>
    <col min="3" max="3" width="52" style="1" customWidth="1"/>
    <col min="4" max="4" width="10" style="1" customWidth="1"/>
    <col min="5" max="5" width="34" style="1" customWidth="1"/>
    <col min="6" max="6" width="24" style="1" customWidth="1"/>
    <col min="7" max="26" width="8.7109375" style="1" customWidth="1"/>
  </cols>
  <sheetData>
    <row r="1" ht="27.75" customHeight="1" spans="1:6">
      <c r="A1" s="2" t="s">
        <v>44</v>
      </c>
      <c r="B1" s="3"/>
      <c r="C1" s="3"/>
      <c r="D1" s="3"/>
      <c r="E1" s="3"/>
      <c r="F1" s="3"/>
    </row>
    <row r="2" customHeight="1" spans="1:6">
      <c r="A2" s="4" t="s">
        <v>45</v>
      </c>
    </row>
    <row r="4" spans="1:6">
      <c r="A4" s="14" t="s">
        <v>46</v>
      </c>
      <c r="B4" s="15"/>
      <c r="C4" s="3"/>
      <c r="D4" s="16" t="s">
        <v>47</v>
      </c>
      <c r="E4" s="17" t="s">
        <v>48</v>
      </c>
      <c r="F4" s="3"/>
    </row>
    <row r="5" ht="28" spans="1:6">
      <c r="A5" s="14" t="s">
        <v>49</v>
      </c>
      <c r="B5" s="15" t="s">
        <v>50</v>
      </c>
      <c r="C5" s="3"/>
      <c r="D5" s="16" t="s">
        <v>51</v>
      </c>
      <c r="E5" s="17" t="s">
        <v>52</v>
      </c>
      <c r="F5" s="3"/>
    </row>
    <row r="6" spans="1:6">
      <c r="A6" s="14" t="s">
        <v>53</v>
      </c>
      <c r="B6" s="15"/>
      <c r="C6" s="3"/>
      <c r="D6" s="16" t="s">
        <v>54</v>
      </c>
      <c r="E6" s="18">
        <v>46291</v>
      </c>
      <c r="F6" s="3"/>
    </row>
    <row r="8" ht="19.5" customHeight="1" spans="1:6">
      <c r="A8" s="19" t="s">
        <v>55</v>
      </c>
      <c r="B8" s="5" t="s">
        <v>56</v>
      </c>
      <c r="C8" s="5" t="s">
        <v>57</v>
      </c>
      <c r="D8" s="19" t="s">
        <v>7</v>
      </c>
      <c r="E8" s="5" t="s">
        <v>58</v>
      </c>
      <c r="F8" s="5" t="s">
        <v>59</v>
      </c>
    </row>
    <row r="9" ht="19.5" customHeight="1" spans="1:6">
      <c r="A9" s="6" t="s">
        <v>60</v>
      </c>
      <c r="B9" s="3"/>
      <c r="C9" s="3"/>
      <c r="D9" s="3"/>
      <c r="E9" s="3"/>
      <c r="F9" s="3"/>
    </row>
    <row r="10" ht="66" customHeight="1" spans="1:6">
      <c r="A10" s="7" t="s">
        <v>61</v>
      </c>
      <c r="B10" s="20" t="s">
        <v>62</v>
      </c>
      <c r="C10" s="9" t="s">
        <v>63</v>
      </c>
      <c r="D10" s="21">
        <v>1</v>
      </c>
      <c r="E10" s="9" t="s">
        <v>64</v>
      </c>
      <c r="F10" s="22" t="s">
        <v>65</v>
      </c>
    </row>
    <row r="11" ht="78" customHeight="1" spans="1:6">
      <c r="A11" s="7" t="s">
        <v>66</v>
      </c>
      <c r="B11" s="20" t="s">
        <v>67</v>
      </c>
      <c r="C11" s="9" t="s">
        <v>68</v>
      </c>
      <c r="D11" s="21">
        <v>2</v>
      </c>
      <c r="E11" s="9" t="s">
        <v>69</v>
      </c>
      <c r="F11" s="22" t="s">
        <v>70</v>
      </c>
    </row>
    <row r="12" ht="102" customHeight="1" spans="1:6">
      <c r="A12" s="7" t="s">
        <v>71</v>
      </c>
      <c r="B12" s="20" t="s">
        <v>72</v>
      </c>
      <c r="C12" s="9" t="s">
        <v>73</v>
      </c>
      <c r="D12" s="21">
        <v>3</v>
      </c>
      <c r="E12" s="9" t="s">
        <v>74</v>
      </c>
      <c r="F12" s="22" t="s">
        <v>75</v>
      </c>
    </row>
    <row r="13" ht="78" customHeight="1" spans="1:6">
      <c r="A13" s="7" t="s">
        <v>76</v>
      </c>
      <c r="B13" s="20" t="s">
        <v>77</v>
      </c>
      <c r="C13" s="9" t="s">
        <v>78</v>
      </c>
      <c r="D13" s="21">
        <v>1</v>
      </c>
      <c r="E13" s="9" t="s">
        <v>79</v>
      </c>
      <c r="F13" s="22" t="s">
        <v>80</v>
      </c>
    </row>
    <row r="14" ht="19.5" customHeight="1" spans="1:6">
      <c r="A14" s="10" t="s">
        <v>81</v>
      </c>
      <c r="B14" s="3"/>
      <c r="C14" s="3"/>
      <c r="D14" s="3"/>
      <c r="E14" s="3"/>
      <c r="F14" s="3"/>
    </row>
    <row r="15" ht="78" customHeight="1" spans="1:6">
      <c r="A15" s="7" t="s">
        <v>82</v>
      </c>
      <c r="B15" s="20" t="s">
        <v>83</v>
      </c>
      <c r="C15" s="9" t="s">
        <v>84</v>
      </c>
      <c r="D15" s="21">
        <v>2</v>
      </c>
      <c r="E15" s="9" t="s">
        <v>85</v>
      </c>
      <c r="F15" s="22" t="s">
        <v>86</v>
      </c>
    </row>
    <row r="16" ht="150" customHeight="1" spans="1:6">
      <c r="A16" s="7" t="s">
        <v>87</v>
      </c>
      <c r="B16" s="20" t="s">
        <v>88</v>
      </c>
      <c r="C16" s="9" t="s">
        <v>89</v>
      </c>
      <c r="D16" s="21">
        <v>3</v>
      </c>
      <c r="E16" s="9" t="s">
        <v>90</v>
      </c>
      <c r="F16" s="22" t="s">
        <v>91</v>
      </c>
    </row>
    <row r="17" ht="126" customHeight="1" spans="1:6">
      <c r="A17" s="7" t="s">
        <v>92</v>
      </c>
      <c r="B17" s="20" t="s">
        <v>93</v>
      </c>
      <c r="C17" s="9" t="s">
        <v>94</v>
      </c>
      <c r="D17" s="21">
        <v>2</v>
      </c>
      <c r="E17" s="9" t="s">
        <v>95</v>
      </c>
      <c r="F17" s="22" t="s">
        <v>96</v>
      </c>
    </row>
    <row r="18" ht="78" customHeight="1" spans="1:6">
      <c r="A18" s="7" t="s">
        <v>97</v>
      </c>
      <c r="B18" s="20" t="s">
        <v>98</v>
      </c>
      <c r="C18" s="9" t="s">
        <v>99</v>
      </c>
      <c r="D18" s="21">
        <v>1</v>
      </c>
      <c r="E18" s="9" t="s">
        <v>100</v>
      </c>
      <c r="F18" s="22" t="s">
        <v>101</v>
      </c>
    </row>
    <row r="19" ht="19.5" customHeight="1" spans="1:6">
      <c r="A19" s="11" t="s">
        <v>102</v>
      </c>
      <c r="B19" s="3"/>
      <c r="C19" s="3"/>
      <c r="D19" s="3"/>
      <c r="E19" s="3"/>
      <c r="F19" s="3"/>
    </row>
    <row r="20" ht="102" customHeight="1" spans="1:6">
      <c r="A20" s="7" t="s">
        <v>103</v>
      </c>
      <c r="B20" s="20" t="s">
        <v>104</v>
      </c>
      <c r="C20" s="9" t="s">
        <v>105</v>
      </c>
      <c r="D20" s="21">
        <v>2</v>
      </c>
      <c r="E20" s="9" t="s">
        <v>106</v>
      </c>
      <c r="F20" s="22" t="s">
        <v>107</v>
      </c>
    </row>
    <row r="21" ht="78" customHeight="1" spans="1:6">
      <c r="A21" s="7" t="s">
        <v>108</v>
      </c>
      <c r="B21" s="20" t="s">
        <v>109</v>
      </c>
      <c r="C21" s="9" t="s">
        <v>110</v>
      </c>
      <c r="D21" s="21">
        <v>1</v>
      </c>
      <c r="E21" s="9" t="s">
        <v>111</v>
      </c>
      <c r="F21" s="22" t="s">
        <v>112</v>
      </c>
    </row>
    <row r="22" ht="90" customHeight="1" spans="1:6">
      <c r="A22" s="7" t="s">
        <v>113</v>
      </c>
      <c r="B22" s="20" t="s">
        <v>114</v>
      </c>
      <c r="C22" s="9" t="s">
        <v>115</v>
      </c>
      <c r="D22" s="21">
        <v>3</v>
      </c>
      <c r="E22" s="9" t="s">
        <v>116</v>
      </c>
      <c r="F22" s="22" t="s">
        <v>117</v>
      </c>
    </row>
    <row r="23" ht="78" customHeight="1" spans="1:6">
      <c r="A23" s="7" t="s">
        <v>118</v>
      </c>
      <c r="B23" s="20" t="s">
        <v>119</v>
      </c>
      <c r="C23" s="9" t="s">
        <v>120</v>
      </c>
      <c r="D23" s="21">
        <v>2</v>
      </c>
      <c r="E23" s="9" t="s">
        <v>121</v>
      </c>
      <c r="F23" s="22" t="s">
        <v>122</v>
      </c>
    </row>
    <row r="24" ht="19.5" customHeight="1" spans="1:6">
      <c r="A24" s="12" t="s">
        <v>123</v>
      </c>
      <c r="B24" s="3"/>
      <c r="C24" s="3"/>
      <c r="D24" s="3"/>
      <c r="E24" s="3"/>
      <c r="F24" s="3"/>
    </row>
    <row r="25" ht="78" customHeight="1" spans="1:6">
      <c r="A25" s="7" t="s">
        <v>124</v>
      </c>
      <c r="B25" s="20" t="s">
        <v>125</v>
      </c>
      <c r="C25" s="9" t="s">
        <v>126</v>
      </c>
      <c r="D25" s="21">
        <v>2</v>
      </c>
      <c r="E25" s="9" t="s">
        <v>127</v>
      </c>
      <c r="F25" s="22" t="s">
        <v>128</v>
      </c>
    </row>
    <row r="26" ht="90" customHeight="1" spans="1:6">
      <c r="A26" s="7" t="s">
        <v>129</v>
      </c>
      <c r="B26" s="20" t="s">
        <v>130</v>
      </c>
      <c r="C26" s="9" t="s">
        <v>131</v>
      </c>
      <c r="D26" s="21">
        <v>2</v>
      </c>
      <c r="E26" s="9" t="s">
        <v>132</v>
      </c>
      <c r="F26" s="22" t="s">
        <v>133</v>
      </c>
    </row>
    <row r="27" ht="66" customHeight="1" spans="1:6">
      <c r="A27" s="7" t="s">
        <v>134</v>
      </c>
      <c r="B27" s="20" t="s">
        <v>135</v>
      </c>
      <c r="C27" s="9" t="s">
        <v>136</v>
      </c>
      <c r="D27" s="21">
        <v>2</v>
      </c>
      <c r="E27" s="9" t="s">
        <v>137</v>
      </c>
      <c r="F27" s="22" t="s">
        <v>138</v>
      </c>
    </row>
    <row r="28" ht="102" customHeight="1" spans="1:6">
      <c r="A28" s="7" t="s">
        <v>139</v>
      </c>
      <c r="B28" s="20" t="s">
        <v>140</v>
      </c>
      <c r="C28" s="9" t="s">
        <v>141</v>
      </c>
      <c r="D28" s="21">
        <v>3</v>
      </c>
      <c r="E28" s="9" t="s">
        <v>142</v>
      </c>
      <c r="F28" s="22" t="s">
        <v>143</v>
      </c>
    </row>
    <row r="29" ht="19.5" customHeight="1" spans="1:6">
      <c r="A29" s="13" t="s">
        <v>144</v>
      </c>
      <c r="B29" s="3"/>
      <c r="C29" s="3"/>
      <c r="D29" s="3"/>
      <c r="E29" s="3"/>
      <c r="F29" s="3"/>
    </row>
    <row r="30" ht="66" customHeight="1" spans="1:6">
      <c r="A30" s="7" t="s">
        <v>145</v>
      </c>
      <c r="B30" s="20" t="s">
        <v>146</v>
      </c>
      <c r="C30" s="9" t="s">
        <v>147</v>
      </c>
      <c r="D30" s="21">
        <v>1</v>
      </c>
      <c r="E30" s="9" t="s">
        <v>148</v>
      </c>
      <c r="F30" s="22" t="s">
        <v>149</v>
      </c>
    </row>
    <row r="31" ht="102" customHeight="1" spans="1:6">
      <c r="A31" s="7" t="s">
        <v>150</v>
      </c>
      <c r="B31" s="20" t="s">
        <v>151</v>
      </c>
      <c r="C31" s="9" t="s">
        <v>152</v>
      </c>
      <c r="D31" s="21">
        <v>1</v>
      </c>
      <c r="E31" s="9" t="s">
        <v>153</v>
      </c>
      <c r="F31" s="22" t="s">
        <v>149</v>
      </c>
    </row>
    <row r="32" ht="66" customHeight="1" spans="1:6">
      <c r="A32" s="7" t="s">
        <v>154</v>
      </c>
      <c r="B32" s="20" t="s">
        <v>155</v>
      </c>
      <c r="C32" s="9" t="s">
        <v>156</v>
      </c>
      <c r="D32" s="21">
        <v>1</v>
      </c>
      <c r="E32" s="9" t="s">
        <v>157</v>
      </c>
      <c r="F32" s="22" t="s">
        <v>149</v>
      </c>
    </row>
    <row r="33" ht="78" customHeight="1" spans="1:6">
      <c r="A33" s="7" t="s">
        <v>158</v>
      </c>
      <c r="B33" s="20" t="s">
        <v>159</v>
      </c>
      <c r="C33" s="9" t="s">
        <v>160</v>
      </c>
      <c r="D33" s="21">
        <v>1</v>
      </c>
      <c r="E33" s="9" t="s">
        <v>161</v>
      </c>
      <c r="F33" s="22" t="s">
        <v>162</v>
      </c>
    </row>
    <row r="34" ht="102" customHeight="1" spans="1:6">
      <c r="A34" s="7" t="s">
        <v>163</v>
      </c>
      <c r="B34" s="20" t="s">
        <v>164</v>
      </c>
      <c r="C34" s="9" t="s">
        <v>165</v>
      </c>
      <c r="D34" s="21">
        <v>1</v>
      </c>
      <c r="E34" s="9" t="s">
        <v>166</v>
      </c>
      <c r="F34" s="22" t="s">
        <v>167</v>
      </c>
    </row>
    <row r="35" ht="15.75" customHeight="1"/>
    <row r="36" ht="19.5" customHeight="1" spans="1:6">
      <c r="A36" s="23" t="s">
        <v>168</v>
      </c>
      <c r="B36" s="3"/>
      <c r="C36" s="3"/>
      <c r="D36" s="3"/>
      <c r="E36" s="3"/>
      <c r="F36" s="3"/>
    </row>
    <row r="37" spans="1:6">
      <c r="A37" s="24" t="s">
        <v>60</v>
      </c>
      <c r="B37" s="3"/>
      <c r="C37" s="25">
        <f>IFERROR(ROUND(AVERAGE(D10:D13),2),"")</f>
        <v>1.75</v>
      </c>
      <c r="D37" s="26"/>
      <c r="E37" s="3"/>
      <c r="F37" s="3"/>
    </row>
    <row r="38" spans="1:6">
      <c r="A38" s="27" t="s">
        <v>81</v>
      </c>
      <c r="B38" s="3"/>
      <c r="C38" s="25">
        <f>IFERROR(ROUND(AVERAGE(D15:D18),2),"")</f>
        <v>2</v>
      </c>
      <c r="D38" s="26"/>
      <c r="E38" s="3"/>
      <c r="F38" s="3"/>
    </row>
    <row r="39" spans="1:6">
      <c r="A39" s="28" t="s">
        <v>102</v>
      </c>
      <c r="B39" s="3"/>
      <c r="C39" s="25">
        <f>IFERROR(ROUND(AVERAGE(D20:D23),2),"")</f>
        <v>2</v>
      </c>
      <c r="D39" s="26"/>
      <c r="E39" s="3"/>
      <c r="F39" s="3"/>
    </row>
    <row r="40" spans="1:6">
      <c r="A40" s="29" t="s">
        <v>169</v>
      </c>
      <c r="B40" s="3"/>
      <c r="C40" s="25">
        <f>IFERROR(ROUND(AVERAGE(D25:D28),2),"")</f>
        <v>2.25</v>
      </c>
      <c r="D40" s="26"/>
      <c r="E40" s="3"/>
      <c r="F40" s="3"/>
    </row>
    <row r="41" spans="1:6">
      <c r="A41" s="30" t="s">
        <v>144</v>
      </c>
      <c r="B41" s="3"/>
      <c r="C41" s="25">
        <f>IFERROR(ROUND(AVERAGE(D30:D34),2),"")</f>
        <v>1</v>
      </c>
      <c r="D41" s="26"/>
      <c r="E41" s="3"/>
      <c r="F41" s="3"/>
    </row>
    <row r="42" ht="19.5" customHeight="1" spans="1:6">
      <c r="A42" s="31" t="s">
        <v>170</v>
      </c>
      <c r="B42" s="3"/>
      <c r="C42" s="32">
        <f>IFERROR(ROUND(AVERAGE(C37:C41),2),"")</f>
        <v>1.8</v>
      </c>
      <c r="D42" s="33"/>
      <c r="E42" s="3"/>
      <c r="F42" s="3"/>
    </row>
    <row r="43" ht="18" customHeight="1" spans="1:6">
      <c r="A43" s="34" t="s">
        <v>171</v>
      </c>
      <c r="B43" s="3"/>
      <c r="C43" s="35" t="str">
        <f>IF(ISNUMBER(C42),IF(C42&lt;1,"Early awareness",IF(C42&lt;2,"Emerging alignment",IF(C42&lt;3,"Aligned","EU-ready (for stage)"))),"")</f>
        <v>Emerging alignment</v>
      </c>
      <c r="D43" s="3"/>
      <c r="E43" s="3"/>
      <c r="F43" s="3"/>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A1:F1"/>
    <mergeCell ref="A2:F2"/>
    <mergeCell ref="B4:C4"/>
    <mergeCell ref="E4:F4"/>
    <mergeCell ref="B5:C5"/>
    <mergeCell ref="E5:F5"/>
    <mergeCell ref="B6:C6"/>
    <mergeCell ref="E6:F6"/>
    <mergeCell ref="A9:F9"/>
    <mergeCell ref="A14:F14"/>
    <mergeCell ref="A19:F19"/>
    <mergeCell ref="A24:F24"/>
    <mergeCell ref="A29:F29"/>
    <mergeCell ref="A36:F36"/>
    <mergeCell ref="A37:B37"/>
    <mergeCell ref="D37:F37"/>
    <mergeCell ref="A38:B38"/>
    <mergeCell ref="D38:F38"/>
    <mergeCell ref="A39:B39"/>
    <mergeCell ref="D39:F39"/>
    <mergeCell ref="A40:B40"/>
    <mergeCell ref="D40:F40"/>
    <mergeCell ref="A41:B41"/>
    <mergeCell ref="D41:F41"/>
    <mergeCell ref="A42:B42"/>
    <mergeCell ref="D42:F42"/>
    <mergeCell ref="A43:B43"/>
    <mergeCell ref="C43:F43"/>
  </mergeCells>
  <dataValidations count="4">
    <dataValidation type="list" allowBlank="1" sqref="B5">
      <formula1>"AgriTech,HealthTech,EnergyTech,Cross-sector / Digital,Other"</formula1>
    </dataValidation>
    <dataValidation type="list" allowBlank="1" sqref="E5">
      <formula1>"1 - Basic principles observed,2 - Technology concept formulated,3 - Experimental proof of concept,4 - Validated in lab,5 - Validated in relevant environment,6 - Demonstrated in relevant environment,7 - Prototype demo in operational environment,8 - System "&amp;"complete and qualified,9 - Proven in operational environment"</formula1>
    </dataValidation>
    <dataValidation type="list" allowBlank="1" sqref="D15 D10:D13 D17:D18 D20:D23 D25:D28 D30:D34">
      <formula1>"0,1,2,3,4,not applicable"</formula1>
    </dataValidation>
    <dataValidation type="list" allowBlank="1" sqref="D16">
      <formula1>"0,1,2,3,4,N/A"</formula1>
    </dataValidation>
  </dataValidations>
  <pageMargins left="0.75" right="0.75" top="1" bottom="1" header="0" footer="0"/>
  <pageSetup paperSize="9" fitToHeight="0"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F1000"/>
  <sheetViews>
    <sheetView tabSelected="1" workbookViewId="0">
      <pane ySplit="4" topLeftCell="A5" activePane="bottomLeft" state="frozen"/>
      <selection/>
      <selection pane="bottomLeft" activeCell="B6" sqref="B6"/>
    </sheetView>
  </sheetViews>
  <sheetFormatPr defaultColWidth="14.4296875" defaultRowHeight="15" customHeight="1" outlineLevelCol="5"/>
  <cols>
    <col min="1" max="1" width="6" style="1" customWidth="1"/>
    <col min="2" max="2" width="26" style="1" customWidth="1"/>
    <col min="3" max="5" width="46" style="1" customWidth="1"/>
    <col min="6" max="6" width="28" style="1" customWidth="1"/>
    <col min="7" max="26" width="8.7109375" style="1" customWidth="1"/>
  </cols>
  <sheetData>
    <row r="1" ht="27.75" customHeight="1" spans="1:6">
      <c r="A1" s="2" t="s">
        <v>172</v>
      </c>
      <c r="B1" s="3"/>
      <c r="C1" s="3"/>
      <c r="D1" s="3"/>
      <c r="E1" s="3"/>
      <c r="F1" s="3"/>
    </row>
    <row r="2" customHeight="1" spans="1:6">
      <c r="A2" s="4" t="s">
        <v>173</v>
      </c>
    </row>
    <row r="4" ht="19.5" customHeight="1" spans="1:6">
      <c r="A4" s="5" t="s">
        <v>55</v>
      </c>
      <c r="B4" s="5" t="s">
        <v>56</v>
      </c>
      <c r="C4" s="5" t="s">
        <v>174</v>
      </c>
      <c r="D4" s="5" t="s">
        <v>175</v>
      </c>
      <c r="E4" s="5" t="s">
        <v>176</v>
      </c>
      <c r="F4" s="5" t="s">
        <v>59</v>
      </c>
    </row>
    <row r="5" ht="19.5" customHeight="1" spans="1:6">
      <c r="A5" s="6" t="s">
        <v>60</v>
      </c>
      <c r="B5" s="3"/>
      <c r="C5" s="3"/>
      <c r="D5" s="3"/>
      <c r="E5" s="3"/>
      <c r="F5" s="3"/>
    </row>
    <row r="6" ht="69.75" customHeight="1" spans="1:6">
      <c r="A6" s="7" t="s">
        <v>61</v>
      </c>
      <c r="B6" s="8" t="s">
        <v>62</v>
      </c>
      <c r="C6" s="9" t="s">
        <v>177</v>
      </c>
      <c r="D6" s="9" t="s">
        <v>178</v>
      </c>
      <c r="E6" s="9" t="s">
        <v>179</v>
      </c>
      <c r="F6" s="9" t="s">
        <v>65</v>
      </c>
    </row>
    <row r="7" ht="57.75" customHeight="1" spans="1:6">
      <c r="A7" s="7" t="s">
        <v>66</v>
      </c>
      <c r="B7" s="8" t="s">
        <v>67</v>
      </c>
      <c r="C7" s="9" t="s">
        <v>180</v>
      </c>
      <c r="D7" s="9" t="s">
        <v>68</v>
      </c>
      <c r="E7" s="9" t="s">
        <v>181</v>
      </c>
      <c r="F7" s="9" t="s">
        <v>70</v>
      </c>
    </row>
    <row r="8" ht="57.75" customHeight="1" spans="1:6">
      <c r="A8" s="7" t="s">
        <v>71</v>
      </c>
      <c r="B8" s="8" t="s">
        <v>72</v>
      </c>
      <c r="C8" s="9" t="s">
        <v>182</v>
      </c>
      <c r="D8" s="9" t="s">
        <v>73</v>
      </c>
      <c r="E8" s="9" t="s">
        <v>183</v>
      </c>
      <c r="F8" s="9" t="s">
        <v>75</v>
      </c>
    </row>
    <row r="9" ht="57.75" customHeight="1" spans="1:6">
      <c r="A9" s="7" t="s">
        <v>76</v>
      </c>
      <c r="B9" s="8" t="s">
        <v>77</v>
      </c>
      <c r="C9" s="9" t="s">
        <v>184</v>
      </c>
      <c r="D9" s="9" t="s">
        <v>78</v>
      </c>
      <c r="E9" s="9" t="s">
        <v>185</v>
      </c>
      <c r="F9" s="9" t="s">
        <v>80</v>
      </c>
    </row>
    <row r="10" ht="19.5" customHeight="1" spans="1:6">
      <c r="A10" s="10" t="s">
        <v>81</v>
      </c>
      <c r="B10" s="3"/>
      <c r="C10" s="3"/>
      <c r="D10" s="3"/>
      <c r="E10" s="3"/>
      <c r="F10" s="3"/>
    </row>
    <row r="11" ht="69.75" customHeight="1" spans="1:6">
      <c r="A11" s="7" t="s">
        <v>82</v>
      </c>
      <c r="B11" s="8" t="s">
        <v>83</v>
      </c>
      <c r="C11" s="9" t="s">
        <v>186</v>
      </c>
      <c r="D11" s="9" t="s">
        <v>187</v>
      </c>
      <c r="E11" s="9" t="s">
        <v>188</v>
      </c>
      <c r="F11" s="9" t="s">
        <v>86</v>
      </c>
    </row>
    <row r="12" ht="57.75" customHeight="1" spans="1:6">
      <c r="A12" s="7" t="s">
        <v>87</v>
      </c>
      <c r="B12" s="8" t="s">
        <v>189</v>
      </c>
      <c r="C12" s="9" t="s">
        <v>190</v>
      </c>
      <c r="D12" s="9" t="s">
        <v>89</v>
      </c>
      <c r="E12" s="9" t="s">
        <v>191</v>
      </c>
      <c r="F12" s="9" t="s">
        <v>91</v>
      </c>
    </row>
    <row r="13" ht="57.75" customHeight="1" spans="1:6">
      <c r="A13" s="7" t="s">
        <v>92</v>
      </c>
      <c r="B13" s="8" t="s">
        <v>93</v>
      </c>
      <c r="C13" s="9" t="s">
        <v>192</v>
      </c>
      <c r="D13" s="9" t="s">
        <v>94</v>
      </c>
      <c r="E13" s="9" t="s">
        <v>193</v>
      </c>
      <c r="F13" s="9" t="s">
        <v>96</v>
      </c>
    </row>
    <row r="14" ht="79.5" customHeight="1" spans="1:6">
      <c r="A14" s="7" t="s">
        <v>97</v>
      </c>
      <c r="B14" s="8" t="s">
        <v>98</v>
      </c>
      <c r="C14" s="9" t="s">
        <v>194</v>
      </c>
      <c r="D14" s="9" t="s">
        <v>195</v>
      </c>
      <c r="E14" s="9" t="s">
        <v>196</v>
      </c>
      <c r="F14" s="9" t="s">
        <v>101</v>
      </c>
    </row>
    <row r="15" ht="19.5" customHeight="1" spans="1:6">
      <c r="A15" s="11" t="s">
        <v>102</v>
      </c>
      <c r="B15" s="3"/>
      <c r="C15" s="3"/>
      <c r="D15" s="3"/>
      <c r="E15" s="3"/>
      <c r="F15" s="3"/>
    </row>
    <row r="16" ht="57.75" customHeight="1" spans="1:6">
      <c r="A16" s="7" t="s">
        <v>103</v>
      </c>
      <c r="B16" s="8" t="s">
        <v>104</v>
      </c>
      <c r="C16" s="9" t="s">
        <v>197</v>
      </c>
      <c r="D16" s="9" t="s">
        <v>105</v>
      </c>
      <c r="E16" s="9" t="s">
        <v>198</v>
      </c>
      <c r="F16" s="9" t="s">
        <v>107</v>
      </c>
    </row>
    <row r="17" ht="57.75" customHeight="1" spans="1:6">
      <c r="A17" s="7" t="s">
        <v>108</v>
      </c>
      <c r="B17" s="8" t="s">
        <v>109</v>
      </c>
      <c r="C17" s="9" t="s">
        <v>199</v>
      </c>
      <c r="D17" s="9" t="s">
        <v>110</v>
      </c>
      <c r="E17" s="9" t="s">
        <v>200</v>
      </c>
      <c r="F17" s="9" t="s">
        <v>112</v>
      </c>
    </row>
    <row r="18" ht="57.75" customHeight="1" spans="1:6">
      <c r="A18" s="7" t="s">
        <v>113</v>
      </c>
      <c r="B18" s="8" t="s">
        <v>114</v>
      </c>
      <c r="C18" s="9" t="s">
        <v>201</v>
      </c>
      <c r="D18" s="9" t="s">
        <v>115</v>
      </c>
      <c r="E18" s="9" t="s">
        <v>202</v>
      </c>
      <c r="F18" s="9" t="s">
        <v>117</v>
      </c>
    </row>
    <row r="19" ht="69.75" customHeight="1" spans="1:6">
      <c r="A19" s="7" t="s">
        <v>118</v>
      </c>
      <c r="B19" s="8" t="s">
        <v>119</v>
      </c>
      <c r="C19" s="9" t="s">
        <v>203</v>
      </c>
      <c r="D19" s="9" t="s">
        <v>204</v>
      </c>
      <c r="E19" s="9" t="s">
        <v>205</v>
      </c>
      <c r="F19" s="9" t="s">
        <v>122</v>
      </c>
    </row>
    <row r="20" ht="19.5" customHeight="1" spans="1:6">
      <c r="A20" s="12" t="s">
        <v>206</v>
      </c>
      <c r="B20" s="3"/>
      <c r="C20" s="3"/>
      <c r="D20" s="3"/>
      <c r="E20" s="3"/>
      <c r="F20" s="3"/>
    </row>
    <row r="21" ht="57.75" customHeight="1" spans="1:6">
      <c r="A21" s="7" t="s">
        <v>124</v>
      </c>
      <c r="B21" s="8" t="s">
        <v>125</v>
      </c>
      <c r="C21" s="9" t="s">
        <v>207</v>
      </c>
      <c r="D21" s="9" t="s">
        <v>126</v>
      </c>
      <c r="E21" s="9" t="s">
        <v>208</v>
      </c>
      <c r="F21" s="9" t="s">
        <v>128</v>
      </c>
    </row>
    <row r="22" ht="57.75" customHeight="1" spans="1:6">
      <c r="A22" s="7" t="s">
        <v>129</v>
      </c>
      <c r="B22" s="8" t="s">
        <v>130</v>
      </c>
      <c r="C22" s="9" t="s">
        <v>209</v>
      </c>
      <c r="D22" s="9" t="s">
        <v>131</v>
      </c>
      <c r="E22" s="9" t="s">
        <v>210</v>
      </c>
      <c r="F22" s="9" t="s">
        <v>211</v>
      </c>
    </row>
    <row r="23" ht="57.75" customHeight="1" spans="1:6">
      <c r="A23" s="7" t="s">
        <v>134</v>
      </c>
      <c r="B23" s="8" t="s">
        <v>135</v>
      </c>
      <c r="C23" s="9" t="s">
        <v>212</v>
      </c>
      <c r="D23" s="9" t="s">
        <v>136</v>
      </c>
      <c r="E23" s="9" t="s">
        <v>213</v>
      </c>
      <c r="F23" s="9" t="s">
        <v>211</v>
      </c>
    </row>
    <row r="24" ht="57.75" customHeight="1" spans="1:6">
      <c r="A24" s="7" t="s">
        <v>139</v>
      </c>
      <c r="B24" s="8" t="s">
        <v>140</v>
      </c>
      <c r="C24" s="9" t="s">
        <v>214</v>
      </c>
      <c r="D24" s="9" t="s">
        <v>141</v>
      </c>
      <c r="E24" s="9" t="s">
        <v>215</v>
      </c>
      <c r="F24" s="9" t="s">
        <v>211</v>
      </c>
    </row>
    <row r="25" ht="19.5" customHeight="1" spans="1:6">
      <c r="A25" s="13" t="s">
        <v>144</v>
      </c>
      <c r="B25" s="3"/>
      <c r="C25" s="3"/>
      <c r="D25" s="3"/>
      <c r="E25" s="3"/>
      <c r="F25" s="3"/>
    </row>
    <row r="26" ht="57.75" customHeight="1" spans="1:6">
      <c r="A26" s="7" t="s">
        <v>145</v>
      </c>
      <c r="B26" s="8" t="s">
        <v>146</v>
      </c>
      <c r="C26" s="9" t="s">
        <v>216</v>
      </c>
      <c r="D26" s="9" t="s">
        <v>147</v>
      </c>
      <c r="E26" s="9" t="s">
        <v>217</v>
      </c>
      <c r="F26" s="9" t="s">
        <v>211</v>
      </c>
    </row>
    <row r="27" ht="57.75" customHeight="1" spans="1:6">
      <c r="A27" s="7" t="s">
        <v>150</v>
      </c>
      <c r="B27" s="8" t="s">
        <v>151</v>
      </c>
      <c r="C27" s="9" t="s">
        <v>218</v>
      </c>
      <c r="D27" s="9" t="s">
        <v>152</v>
      </c>
      <c r="E27" s="9" t="s">
        <v>219</v>
      </c>
      <c r="F27" s="9" t="s">
        <v>211</v>
      </c>
    </row>
    <row r="28" ht="57.75" customHeight="1" spans="1:6">
      <c r="A28" s="7" t="s">
        <v>154</v>
      </c>
      <c r="B28" s="8" t="s">
        <v>155</v>
      </c>
      <c r="C28" s="9" t="s">
        <v>220</v>
      </c>
      <c r="D28" s="9" t="s">
        <v>156</v>
      </c>
      <c r="E28" s="9" t="s">
        <v>221</v>
      </c>
      <c r="F28" s="9" t="s">
        <v>149</v>
      </c>
    </row>
    <row r="29" ht="57.75" customHeight="1" spans="1:6">
      <c r="A29" s="7" t="s">
        <v>158</v>
      </c>
      <c r="B29" s="8" t="s">
        <v>159</v>
      </c>
      <c r="C29" s="9" t="s">
        <v>222</v>
      </c>
      <c r="D29" s="9" t="s">
        <v>160</v>
      </c>
      <c r="E29" s="9" t="s">
        <v>223</v>
      </c>
      <c r="F29" s="9" t="s">
        <v>162</v>
      </c>
    </row>
    <row r="30" ht="69.75" customHeight="1" spans="1:6">
      <c r="A30" s="7" t="s">
        <v>163</v>
      </c>
      <c r="B30" s="8" t="s">
        <v>164</v>
      </c>
      <c r="C30" s="9" t="s">
        <v>224</v>
      </c>
      <c r="D30" s="9" t="s">
        <v>165</v>
      </c>
      <c r="E30" s="9" t="s">
        <v>225</v>
      </c>
      <c r="F30" s="9" t="s">
        <v>167</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F1"/>
    <mergeCell ref="A2:F2"/>
    <mergeCell ref="A5:F5"/>
    <mergeCell ref="A10:F10"/>
    <mergeCell ref="A15:F15"/>
    <mergeCell ref="A20:F20"/>
    <mergeCell ref="A25:F25"/>
  </mergeCells>
  <pageMargins left="0.75" right="0.75" top="1" bottom="1" header="0" footer="0"/>
  <pageSetup paperSize="9" fitToHeight="0" orientation="landscape"/>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Read Me</vt:lpstr>
      <vt:lpstr>Team Scorecard</vt:lpstr>
      <vt:lpstr>Criteria Guide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Dimas Pro</cp:lastModifiedBy>
  <dcterms:created xsi:type="dcterms:W3CDTF">2026-07-06T15:55:00Z</dcterms:created>
  <dcterms:modified xsi:type="dcterms:W3CDTF">2026-09-26T16:02:58Z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AFE9BB91B05BC4DD82C2B76A74DC4724_42</vt:lpwstr>
  </property>
  <property fmtid="{D5CDD505-2E9C-101B-9397-08002B2CF9AE}" pid="3" name="KSOProductBuildVer">
    <vt:lpwstr>1033-12.1.28496.28496</vt:lpwstr>
  </property>
  <property fmtid="{D5CDD505-2E9C-101B-9397-08002B2CF9AE}" pid="4" name="CalculationRule">
    <vt:i4>0</vt:i4>
  </property>
</Properties>
</file>